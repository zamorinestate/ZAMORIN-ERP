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ecutive Dashboard" sheetId="1" r:id="rId1"/>
    <sheet name="Bill Audit Register" sheetId="2" r:id="rId2"/>
    <sheet name="Line-Item Breakdown" sheetId="3" r:id="rId3"/>
    <sheet name="Audit &amp; System Manifest" sheetId="4" r:id="rId4"/>
  </sheets>
</workbook>
</file>

<file path=xl/sharedStrings.xml><?xml version="1.0" encoding="utf-8"?>
<sst xmlns="http://schemas.openxmlformats.org/spreadsheetml/2006/main" count="211" uniqueCount="211">
  <si>
    <t xml:space="preserve">Zamorin Speciality Coffee &amp; Kitchens Pvt. Ltd. — Executive Performance Dashboard</t>
  </si>
  <si>
    <t xml:space="preserve">GSTIN: 32AAACZ1234K1Z5 | FSSAI: 11223344556677 | Business Date: 2026-10-14 | Stage 02 Universal Tamper QR Verified</t>
  </si>
  <si>
    <t xml:space="preserve">EXECUTIVE KPI METRIC</t>
  </si>
  <si>
    <t xml:space="preserve">CURRENT VALUE</t>
  </si>
  <si>
    <t xml:space="preserve">BENCHMARK TARGET</t>
  </si>
  <si>
    <t xml:space="preserve">PERFORMANCE VARIANCE / AUDIT NOTE</t>
  </si>
  <si>
    <t xml:space="preserve">Gross Sales Revenue</t>
  </si>
  <si>
    <t xml:space="preserve">'+11.6% Outperformance vs Budget Target</t>
  </si>
  <si>
    <t xml:space="preserve">Net Taxable Turnover</t>
  </si>
  <si>
    <t xml:space="preserve">Reconciled against POS settlement batches</t>
  </si>
  <si>
    <t xml:space="preserve">CGST Collected (2.5%)</t>
  </si>
  <si>
    <t xml:space="preserve">Statutory Central Goods &amp; Services Tax</t>
  </si>
  <si>
    <t xml:space="preserve">SGST Collected (2.5%)</t>
  </si>
  <si>
    <t xml:space="preserve">Statutory Kerala State GST</t>
  </si>
  <si>
    <t xml:space="preserve">Total Orders / Invoices</t>
  </si>
  <si>
    <t xml:space="preserve">100% Settled Transactions, 0 Pending</t>
  </si>
  <si>
    <t xml:space="preserve">Total Guests / Covers (Pax)</t>
  </si>
  <si>
    <t xml:space="preserve">Average 1.59 Covers per Dining Invoice</t>
  </si>
  <si>
    <t xml:space="preserve">Average Ticket Value (ATV)</t>
  </si>
  <si>
    <t xml:space="preserve">'+₹7.10 Premium Specialty Beverage lift</t>
  </si>
  <si>
    <t xml:space="preserve">Total Discounts Granted</t>
  </si>
  <si>
    <t xml:space="preserve">1.76% of Gross Sales (Well within 3% limit)</t>
  </si>
  <si>
    <t xml:space="preserve">Voids &amp; Cancellations</t>
  </si>
  <si>
    <t xml:space="preserve">₹850.00 total — Authorized by Primary Master</t>
  </si>
  <si>
    <t xml:space="preserve">Zamorin Café ERP — Comprehensive Master Bill Audit Register</t>
  </si>
  <si>
    <t xml:space="preserve">Corporate Entity: Zamorin Speciality Coffee &amp; Kitchens Pvt. Ltd. | Run ID: RPT-RUN-20261014-9988 | Period: 14-Oct-2026</t>
  </si>
  <si>
    <t xml:space="preserve">Sl. No.</t>
  </si>
  <si>
    <t xml:space="preserve">Timestamp (IST)</t>
  </si>
  <si>
    <t xml:space="preserve">Bill Number</t>
  </si>
  <si>
    <t xml:space="preserve">Token #</t>
  </si>
  <si>
    <t xml:space="preserve">Branch / Outlet</t>
  </si>
  <si>
    <t xml:space="preserve">Table / Area</t>
  </si>
  <si>
    <t xml:space="preserve">Pax</t>
  </si>
  <si>
    <t xml:space="preserve">Biller / Cashier</t>
  </si>
  <si>
    <t xml:space="preserve">Captain / Server</t>
  </si>
  <si>
    <t xml:space="preserve">Order Channel</t>
  </si>
  <si>
    <t xml:space="preserve">Customer Name &amp; Mobile</t>
  </si>
  <si>
    <t xml:space="preserve">Loyalty Tier</t>
  </si>
  <si>
    <t xml:space="preserve">Gross Total (INR)</t>
  </si>
  <si>
    <t xml:space="preserve">Discount Code</t>
  </si>
  <si>
    <t xml:space="preserve">Discount (INR)</t>
  </si>
  <si>
    <t xml:space="preserve">Service Chg (INR)</t>
  </si>
  <si>
    <t xml:space="preserve">Net Taxable (INR)</t>
  </si>
  <si>
    <t xml:space="preserve">CGST 2.5% (INR)</t>
  </si>
  <si>
    <t xml:space="preserve">SGST 2.5% (INR)</t>
  </si>
  <si>
    <t xml:space="preserve">Round Off (INR)</t>
  </si>
  <si>
    <t xml:space="preserve">Final Total (INR)</t>
  </si>
  <si>
    <t xml:space="preserve">Payment Mode</t>
  </si>
  <si>
    <t xml:space="preserve">Payment Ref / UTR</t>
  </si>
  <si>
    <t xml:space="preserve">Bill Status</t>
  </si>
  <si>
    <t xml:space="preserve">Shift / Counter</t>
  </si>
  <si>
    <t xml:space="preserve">Reprint Count</t>
  </si>
  <si>
    <t xml:space="preserve">Audit Notes / Void Reason</t>
  </si>
  <si>
    <t xml:space="preserve">2026-10-14 08:15:22</t>
  </si>
  <si>
    <t xml:space="preserve">ZC-CAL-261014-001</t>
  </si>
  <si>
    <t xml:space="preserve">#101</t>
  </si>
  <si>
    <t xml:space="preserve">Zamorin Flagship Calicut</t>
  </si>
  <si>
    <t xml:space="preserve">Table 02 (Ground AC)</t>
  </si>
  <si>
    <t xml:space="preserve">Rahul K. (EMP-102)</t>
  </si>
  <si>
    <t xml:space="preserve">Vishnu M. (EMP-114)</t>
  </si>
  <si>
    <t xml:space="preserve">DINE_IN</t>
  </si>
  <si>
    <t xml:space="preserve">Aditya N. (+91 98470 11223)</t>
  </si>
  <si>
    <t xml:space="preserve">GOLD (140 pts)</t>
  </si>
  <si>
    <t xml:space="preserve">NONE</t>
  </si>
  <si>
    <t xml:space="preserve">UPI (GPay)</t>
  </si>
  <si>
    <t xml:space="preserve">UPI-982348123019</t>
  </si>
  <si>
    <t xml:space="preserve">SETTLED</t>
  </si>
  <si>
    <t xml:space="preserve">Shift 1 / Till A</t>
  </si>
  <si>
    <t xml:space="preserve">Regular Morning Brew</t>
  </si>
  <si>
    <t xml:space="preserve">2026-10-14 08:32:45</t>
  </si>
  <si>
    <t xml:space="preserve">ZC-CAL-261014-002</t>
  </si>
  <si>
    <t xml:space="preserve">#102</t>
  </si>
  <si>
    <t xml:space="preserve">Table 05 (Ground AC)</t>
  </si>
  <si>
    <t xml:space="preserve">Dr. Priya V. (+91 94471 22334)</t>
  </si>
  <si>
    <t xml:space="preserve">PLATINUM (480 pts)</t>
  </si>
  <si>
    <t xml:space="preserve">LOYALTY10</t>
  </si>
  <si>
    <t xml:space="preserve">CARD (Visa)</t>
  </si>
  <si>
    <t xml:space="preserve">AUTH-892301</t>
  </si>
  <si>
    <t xml:space="preserve">Breakfast &amp; Pour-overs</t>
  </si>
  <si>
    <t xml:space="preserve">2026-10-14 08:45:10</t>
  </si>
  <si>
    <t xml:space="preserve">ZC-CAL-261014-003</t>
  </si>
  <si>
    <t xml:space="preserve">#103</t>
  </si>
  <si>
    <t xml:space="preserve">Takeaway Counter</t>
  </si>
  <si>
    <t xml:space="preserve">Anas K. (EMP-104)</t>
  </si>
  <si>
    <t xml:space="preserve">Self Service</t>
  </si>
  <si>
    <t xml:space="preserve">TAKEAWAY</t>
  </si>
  <si>
    <t xml:space="preserve">Naveen Raj (+91 98950 33445)</t>
  </si>
  <si>
    <t xml:space="preserve">SILVER (60 pts)</t>
  </si>
  <si>
    <t xml:space="preserve">CASH</t>
  </si>
  <si>
    <t xml:space="preserve">CASH-TILL-103</t>
  </si>
  <si>
    <t xml:space="preserve">Shift 1 / Till B</t>
  </si>
  <si>
    <t xml:space="preserve">Cold Brew To-Go</t>
  </si>
  <si>
    <t xml:space="preserve">2026-10-14 09:12:05</t>
  </si>
  <si>
    <t xml:space="preserve">ZC-KOC-261014-001</t>
  </si>
  <si>
    <t xml:space="preserve">#201</t>
  </si>
  <si>
    <t xml:space="preserve">Zamorin Kochi Downtown</t>
  </si>
  <si>
    <t xml:space="preserve">Table 08 (Mezzanine)</t>
  </si>
  <si>
    <t xml:space="preserve">Sanjay T. (EMP-201)</t>
  </si>
  <si>
    <t xml:space="preserve">Deepak V. (EMP-208)</t>
  </si>
  <si>
    <t xml:space="preserve">Meera Menon (+91 97450 44556)</t>
  </si>
  <si>
    <t xml:space="preserve">GOLD (210 pts)</t>
  </si>
  <si>
    <t xml:space="preserve">UPI (PhonePe)</t>
  </si>
  <si>
    <t xml:space="preserve">UPI-992301984210</t>
  </si>
  <si>
    <t xml:space="preserve">Speciality Pour-Over</t>
  </si>
  <si>
    <t xml:space="preserve">2026-10-14 09:25:40</t>
  </si>
  <si>
    <t xml:space="preserve">ZC-KOC-261014-002</t>
  </si>
  <si>
    <t xml:space="preserve">#202</t>
  </si>
  <si>
    <t xml:space="preserve">Table 03 (Window Seat)</t>
  </si>
  <si>
    <t xml:space="preserve">Walk-in Guest</t>
  </si>
  <si>
    <t xml:space="preserve">STANDARD</t>
  </si>
  <si>
    <t xml:space="preserve">VOID_WRONG_ITEM</t>
  </si>
  <si>
    <t xml:space="preserve">VOID_REVERSED</t>
  </si>
  <si>
    <t xml:space="preserve">VOID-AUTH-001</t>
  </si>
  <si>
    <t xml:space="preserve">VOID_CANCELLED</t>
  </si>
  <si>
    <t xml:space="preserve">Customer ordered Hot Mocha, Cashier punched Iced Mocha. Re-punched on #203.</t>
  </si>
  <si>
    <t xml:space="preserve">2026-10-14 09:30:15</t>
  </si>
  <si>
    <t xml:space="preserve">ZC-KOC-261014-003</t>
  </si>
  <si>
    <t xml:space="preserve">#203</t>
  </si>
  <si>
    <t xml:space="preserve">UPI (Paytm)</t>
  </si>
  <si>
    <t xml:space="preserve">UPI-982104928172</t>
  </si>
  <si>
    <t xml:space="preserve">Corrected Hot Mocha Ticket</t>
  </si>
  <si>
    <t xml:space="preserve">2026-10-14 09:50:30</t>
  </si>
  <si>
    <t xml:space="preserve">ZC-CAL-261014-004</t>
  </si>
  <si>
    <t xml:space="preserve">#104</t>
  </si>
  <si>
    <t xml:space="preserve">Online Aggregator Bay</t>
  </si>
  <si>
    <t xml:space="preserve">Delivery Dispatch</t>
  </si>
  <si>
    <t xml:space="preserve">SWIGGY</t>
  </si>
  <si>
    <t xml:space="preserve">Swiggy Order #892019</t>
  </si>
  <si>
    <t xml:space="preserve">AGGREGATOR</t>
  </si>
  <si>
    <t xml:space="preserve">SWIGGY20</t>
  </si>
  <si>
    <t xml:space="preserve">SWIGGY_PAY</t>
  </si>
  <si>
    <t xml:space="preserve">SWIG-PAY-98231</t>
  </si>
  <si>
    <t xml:space="preserve">Rider picked up at 09:58</t>
  </si>
  <si>
    <t xml:space="preserve">AUDIT TOTALS</t>
  </si>
  <si>
    <t xml:space="preserve">Zamorin Café ERP — Item-Level Recipe &amp; KDS Line Breakdown</t>
  </si>
  <si>
    <t xml:space="preserve">Detailed dish, beverage, variant, modifier and KOT preparation log | 14-Oct-2026</t>
  </si>
  <si>
    <t xml:space="preserve">Item SKU / Code</t>
  </si>
  <si>
    <t xml:space="preserve">Item Name</t>
  </si>
  <si>
    <t xml:space="preserve">Category</t>
  </si>
  <si>
    <t xml:space="preserve">Variant / Size</t>
  </si>
  <si>
    <t xml:space="preserve">Add-ons &amp; Modifiers</t>
  </si>
  <si>
    <t xml:space="preserve">Quantity</t>
  </si>
  <si>
    <t xml:space="preserve">Unit Base (INR)</t>
  </si>
  <si>
    <t xml:space="preserve">Modifier (INR)</t>
  </si>
  <si>
    <t xml:space="preserve">Item Total (INR)</t>
  </si>
  <si>
    <t xml:space="preserve">KOT Punch Time</t>
  </si>
  <si>
    <t xml:space="preserve">KDS Station</t>
  </si>
  <si>
    <t xml:space="preserve">Item Status</t>
  </si>
  <si>
    <t xml:space="preserve">BEV-COF-001</t>
  </si>
  <si>
    <t xml:space="preserve">Signature Spanish Latte</t>
  </si>
  <si>
    <t xml:space="preserve">Speciality Coffee</t>
  </si>
  <si>
    <t xml:space="preserve">Regular (250ml)</t>
  </si>
  <si>
    <t xml:space="preserve">Oat Milk (+₹40)</t>
  </si>
  <si>
    <t xml:space="preserve">08:14:10</t>
  </si>
  <si>
    <t xml:space="preserve">Espresso Bar 1</t>
  </si>
  <si>
    <t xml:space="preserve">SERVED</t>
  </si>
  <si>
    <t xml:space="preserve">BAK-CRS-002</t>
  </si>
  <si>
    <t xml:space="preserve">Almond Croissant Butter</t>
  </si>
  <si>
    <t xml:space="preserve">Bakery &amp; Patisserie</t>
  </si>
  <si>
    <t xml:space="preserve">Standard 1pc</t>
  </si>
  <si>
    <t xml:space="preserve">Warm &amp; Crispy</t>
  </si>
  <si>
    <t xml:space="preserve">Bakery Warming</t>
  </si>
  <si>
    <t xml:space="preserve">BEV-COF-004</t>
  </si>
  <si>
    <t xml:space="preserve">Aeropress Single Origin</t>
  </si>
  <si>
    <t xml:space="preserve">Manual Brews</t>
  </si>
  <si>
    <t xml:space="preserve">Malabar Arabica AA</t>
  </si>
  <si>
    <t xml:space="preserve">Zero Sugar</t>
  </si>
  <si>
    <t xml:space="preserve">08:31:02</t>
  </si>
  <si>
    <t xml:space="preserve">Brew Bar Station</t>
  </si>
  <si>
    <t xml:space="preserve">FOD-BRK-001</t>
  </si>
  <si>
    <t xml:space="preserve">Eggs Benedict Avocado</t>
  </si>
  <si>
    <t xml:space="preserve">All-Day Breakfast</t>
  </si>
  <si>
    <t xml:space="preserve">Brioche Bun</t>
  </si>
  <si>
    <t xml:space="preserve">Poached Eggs Soft</t>
  </si>
  <si>
    <t xml:space="preserve">Hot Kitchen Line</t>
  </si>
  <si>
    <t xml:space="preserve">BEV-COF-008</t>
  </si>
  <si>
    <t xml:space="preserve">Nitro Cold Brew Tap</t>
  </si>
  <si>
    <t xml:space="preserve">Cold Specialities</t>
  </si>
  <si>
    <t xml:space="preserve">Tall Glass (350ml)</t>
  </si>
  <si>
    <t xml:space="preserve">Vanilla Cold Foam (+₹50)</t>
  </si>
  <si>
    <t xml:space="preserve">08:44:20</t>
  </si>
  <si>
    <t xml:space="preserve">Espresso Bar 2</t>
  </si>
  <si>
    <t xml:space="preserve">BEV-COF-003</t>
  </si>
  <si>
    <t xml:space="preserve">Cortado Double Ristretto</t>
  </si>
  <si>
    <t xml:space="preserve">Classic (130ml)</t>
  </si>
  <si>
    <t xml:space="preserve">None</t>
  </si>
  <si>
    <t xml:space="preserve">09:11:15</t>
  </si>
  <si>
    <t xml:space="preserve">FOD-SAN-002</t>
  </si>
  <si>
    <t xml:space="preserve">Truffle Mushroom Panini</t>
  </si>
  <si>
    <t xml:space="preserve">Gourmet Sandwiches</t>
  </si>
  <si>
    <t xml:space="preserve">Sourdough Focaccia</t>
  </si>
  <si>
    <t xml:space="preserve">Extra Smoked Gouda (+₹60)</t>
  </si>
  <si>
    <t xml:space="preserve">Grill Station</t>
  </si>
  <si>
    <t xml:space="preserve">ITEM TOTALS</t>
  </si>
  <si>
    <t xml:space="preserve">Zamorin Café ERP — Regulatory &amp; Tamper Verification Manifest</t>
  </si>
  <si>
    <t xml:space="preserve">AUDIT ATTRIBUTE</t>
  </si>
  <si>
    <t xml:space="preserve">SYSTEM VALUE / REGULATORY BINDING</t>
  </si>
  <si>
    <t xml:space="preserve">Company Legal Name</t>
  </si>
  <si>
    <t xml:space="preserve">Zamorin Speciality Coffee &amp; Kitchens Pvt. Ltd.</t>
  </si>
  <si>
    <t xml:space="preserve">Goods &amp; Services Tax (GSTIN)</t>
  </si>
  <si>
    <t xml:space="preserve">32AAACZ1234K1Z5 (Kerala State Jurisdiction)</t>
  </si>
  <si>
    <t xml:space="preserve">Food Safety Authority (FSSAI)</t>
  </si>
  <si>
    <t xml:space="preserve">11223344556677 (Central &amp; State FSSAI Certified)</t>
  </si>
  <si>
    <t xml:space="preserve">Official Traceable Run ID</t>
  </si>
  <si>
    <t xml:space="preserve">RPT-RUN-20261014-9988</t>
  </si>
  <si>
    <t xml:space="preserve">Security &amp; Tamper Proofing</t>
  </si>
  <si>
    <t xml:space="preserve">Stage 02 Universal QR Verified with SHA-256 HMAC</t>
  </si>
  <si>
    <t xml:space="preserve">Data Classification</t>
  </si>
  <si>
    <t xml:space="preserve">CONFIDENTIAL FINANCIAL RECORD (Restricted Access)</t>
  </si>
  <si>
    <t xml:space="preserve">Reporting Engine &amp; Specification</t>
  </si>
  <si>
    <t xml:space="preserve">Zamorin Universal Reporting Framework (ZURF v2.4 Enterprise)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</si>
</sst>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#,##0"/>
  </numFmts>
  <fonts count="7">
    <font>
      <name val="Segoe UI"/>
      <sz val="10"/>
      <color rgb="FF1E293B"/>
    </font>
    <font>
      <b/>
      <name val="Segoe UI"/>
      <sz val="10"/>
      <color rgb="FFFFFFFF"/>
    </font>
    <font>
      <b/>
      <name val="Segoe UI"/>
      <sz val="13"/>
      <color rgb="FF0F172A"/>
    </font>
    <font>
      <b/>
      <name val="Segoe UI"/>
      <sz val="10"/>
      <color rgb="FF0F172A"/>
    </font>
    <font>
      <name val="Segoe UI"/>
      <sz val="9"/>
      <color rgb="FF64748B"/>
    </font>
    <font>
      <b/>
      <name val="Segoe UI"/>
      <sz val="16"/>
      <color rgb="FF0F172A"/>
    </font>
    <font>
      <name val="Times New Roman"/>
      <sz val="10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FEF3C7"/>
      </patternFill>
    </fill>
  </fills>
  <borders count="3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thin">
        <color rgb="FF0F172A"/>
      </top>
      <bottom style="double">
        <color rgb="FF0F172A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2" fillId="0" borderId="0" xfId="0" applyFont="1"/>
    <xf numFmtId="164" fontId="3" fillId="4" borderId="2" xfId="0" applyFont="1" applyFill="1" applyBorder="1" applyNumberFormat="1"/>
    <xf numFmtId="0" fontId="4" fillId="0" borderId="0" xfId="0" applyFont="1"/>
    <xf numFmtId="164" fontId="5" fillId="3" borderId="1" xfId="0" applyFont="1" applyFill="1" applyBorder="1" applyNumberFormat="1"/>
    <xf numFmtId="0" fontId="4" fillId="3" borderId="1" xfId="0" applyFont="1" applyFill="1" applyBorder="1"/>
    <xf numFmtId="0" fontId="3" fillId="4" borderId="1" xfId="0" applyFont="1" applyFill="1" applyBorder="1"/>
    <xf numFmtId="0" fontId="0" fillId="0" borderId="1" xfId="0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Views>
    <sheetView tabSelected="1" workbookViewId="0"/>
  </sheetViews>
  <cols>
    <col min="1" max="1" width="28" customWidth="1"/>
    <col min="2" max="2" width="22" customWidth="1"/>
    <col min="3" max="3" width="22" customWidth="1"/>
    <col min="4" max="4" width="34" customWidth="1"/>
  </cols>
  <sheetData>
    <row r="1" ht="28" customHeight="1">
      <c r="A1" t="s" s="4">
        <v>0</v>
      </c>
    </row>
    <row r="2" ht="18" customHeight="1">
      <c r="A2" t="s" s="6">
        <v>1</v>
      </c>
    </row>
    <row r="3" ht="14" customHeight="1"/>
    <row r="4" ht="20" customHeight="1">
      <c r="A4" t="s" s="1">
        <v>2</v>
      </c>
      <c r="B4" t="s" s="1">
        <v>3</v>
      </c>
      <c r="C4" t="s" s="1">
        <v>4</v>
      </c>
      <c r="D4" t="s" s="1">
        <v>5</v>
      </c>
    </row>
    <row r="5" ht="22" customHeight="1">
      <c r="A5" t="s" s="2">
        <v>6</v>
      </c>
      <c r="B5" t="n" s="3">
        <v>245670.00</v>
      </c>
      <c r="C5" t="n" s="3">
        <v>220000.00</v>
      </c>
      <c r="D5" t="s" s="2">
        <v>7</v>
      </c>
    </row>
    <row r="6" ht="22" customHeight="1">
      <c r="A6" t="s" s="2">
        <v>8</v>
      </c>
      <c r="B6" t="n" s="3">
        <v>233971.43</v>
      </c>
      <c r="C6" t="n" s="3">
        <v>209523.81</v>
      </c>
      <c r="D6" t="s" s="2">
        <v>9</v>
      </c>
    </row>
    <row r="7" ht="22" customHeight="1">
      <c r="A7" t="s" s="2">
        <v>10</v>
      </c>
      <c r="B7" t="n" s="3">
        <v>5849.28</v>
      </c>
      <c r="C7" t="n" s="3">
        <v>5238.10</v>
      </c>
      <c r="D7" t="s" s="2">
        <v>11</v>
      </c>
    </row>
    <row r="8" ht="22" customHeight="1">
      <c r="A8" t="s" s="2">
        <v>12</v>
      </c>
      <c r="B8" t="n" s="3">
        <v>5849.28</v>
      </c>
      <c r="C8" t="n" s="3">
        <v>5238.10</v>
      </c>
      <c r="D8" t="s" s="2">
        <v>13</v>
      </c>
    </row>
    <row r="9" ht="22" customHeight="1">
      <c r="A9" t="s" s="2">
        <v>14</v>
      </c>
      <c r="B9" t="n" s="2">
        <v>893</v>
      </c>
      <c r="C9" t="n" s="2">
        <v>820</v>
      </c>
      <c r="D9" t="s" s="2">
        <v>15</v>
      </c>
    </row>
    <row r="10" ht="22" customHeight="1">
      <c r="A10" t="s" s="2">
        <v>16</v>
      </c>
      <c r="B10" t="n" s="2">
        <v>1420</v>
      </c>
      <c r="C10" t="n" s="2">
        <v>1300</v>
      </c>
      <c r="D10" t="s" s="2">
        <v>17</v>
      </c>
    </row>
    <row r="11" ht="22" customHeight="1">
      <c r="A11" t="s" s="2">
        <v>18</v>
      </c>
      <c r="B11" t="n" s="3">
        <v>275.10</v>
      </c>
      <c r="C11" t="n" s="3">
        <v>268.00</v>
      </c>
      <c r="D11" t="s" s="2">
        <v>19</v>
      </c>
    </row>
    <row r="12" ht="22" customHeight="1">
      <c r="A12" t="s" s="2">
        <v>20</v>
      </c>
      <c r="B12" t="n" s="3">
        <v>4320.00</v>
      </c>
      <c r="C12" t="n" s="3">
        <v>5000.00</v>
      </c>
      <c r="D12" t="s" s="2">
        <v>21</v>
      </c>
    </row>
    <row r="13" ht="22" customHeight="1">
      <c r="A13" t="s" s="2">
        <v>22</v>
      </c>
      <c r="B13" t="n" s="2">
        <v>2</v>
      </c>
      <c r="C13" t="n" s="2">
        <v>0</v>
      </c>
      <c r="D13" t="s" s="2">
        <v>23</v>
      </c>
    </row>
  </sheetData>
</worksheet>
</file>

<file path=xl/worksheets/sheet2.xml><?xml version="1.0" encoding="utf-8"?>
<worksheet xmlns="http://schemas.openxmlformats.org/spreadsheetml/2006/main">
  <sheetViews>
    <sheetView tabSelected="0" workbookViewId="0">
      <pane ySplit="4" topLeftCell="A5" activePane="bottomLeft" state="frozen"/>
    </sheetView>
  </sheetViews>
  <cols>
    <col min="1" max="1" width="8" customWidth="1"/>
    <col min="2" max="2" width="20" customWidth="1"/>
    <col min="3" max="3" width="18" customWidth="1"/>
    <col min="4" max="4" width="10" customWidth="1"/>
    <col min="5" max="5" width="22" customWidth="1"/>
    <col min="6" max="6" width="20" customWidth="1"/>
    <col min="7" max="7" width="8" customWidth="1"/>
    <col min="8" max="8" width="22" customWidth="1"/>
    <col min="9" max="9" width="20" customWidth="1"/>
    <col min="10" max="10" width="16" customWidth="1"/>
    <col min="11" max="11" width="26" customWidth="1"/>
    <col min="12" max="12" width="16" customWidth="1"/>
    <col min="13" max="13" width="18" customWidth="1"/>
    <col min="14" max="14" width="16" customWidth="1"/>
    <col min="15" max="15" width="16" customWidth="1"/>
    <col min="16" max="16" width="16" customWidth="1"/>
    <col min="17" max="17" width="18" customWidth="1"/>
    <col min="18" max="18" width="16" customWidth="1"/>
    <col min="19" max="19" width="16" customWidth="1"/>
    <col min="20" max="20" width="14" customWidth="1"/>
    <col min="21" max="21" width="18" customWidth="1"/>
    <col min="22" max="22" width="16" customWidth="1"/>
    <col min="23" max="23" width="24" customWidth="1"/>
    <col min="24" max="24" width="16" customWidth="1"/>
    <col min="25" max="25" width="18" customWidth="1"/>
    <col min="26" max="26" width="14" customWidth="1"/>
    <col min="27" max="27" width="30" customWidth="1"/>
  </cols>
  <sheetData>
    <row r="1" ht="28" customHeight="1">
      <c r="A1" t="s" s="4">
        <v>24</v>
      </c>
    </row>
    <row r="2" ht="18" customHeight="1">
      <c r="A2" t="s" s="6">
        <v>25</v>
      </c>
    </row>
    <row r="3" ht="14" customHeight="1"/>
    <row r="4" ht="24" customHeight="1">
      <c r="A4" t="s" s="1">
        <v>26</v>
      </c>
      <c r="B4" t="s" s="1">
        <v>27</v>
      </c>
      <c r="C4" t="s" s="1">
        <v>28</v>
      </c>
      <c r="D4" t="s" s="1">
        <v>29</v>
      </c>
      <c r="E4" t="s" s="1">
        <v>30</v>
      </c>
      <c r="F4" t="s" s="1">
        <v>31</v>
      </c>
      <c r="G4" t="s" s="1">
        <v>32</v>
      </c>
      <c r="H4" t="s" s="1">
        <v>33</v>
      </c>
      <c r="I4" t="s" s="1">
        <v>34</v>
      </c>
      <c r="J4" t="s" s="1">
        <v>35</v>
      </c>
      <c r="K4" t="s" s="1">
        <v>36</v>
      </c>
      <c r="L4" t="s" s="1">
        <v>37</v>
      </c>
      <c r="M4" t="s" s="1">
        <v>38</v>
      </c>
      <c r="N4" t="s" s="1">
        <v>39</v>
      </c>
      <c r="O4" t="s" s="1">
        <v>40</v>
      </c>
      <c r="P4" t="s" s="1">
        <v>41</v>
      </c>
      <c r="Q4" t="s" s="1">
        <v>42</v>
      </c>
      <c r="R4" t="s" s="1">
        <v>43</v>
      </c>
      <c r="S4" t="s" s="1">
        <v>44</v>
      </c>
      <c r="T4" t="s" s="1">
        <v>45</v>
      </c>
      <c r="U4" t="s" s="1">
        <v>46</v>
      </c>
      <c r="V4" t="s" s="1">
        <v>47</v>
      </c>
      <c r="W4" t="s" s="1">
        <v>48</v>
      </c>
      <c r="X4" t="s" s="1">
        <v>49</v>
      </c>
      <c r="Y4" t="s" s="1">
        <v>50</v>
      </c>
      <c r="Z4" t="s" s="1">
        <v>51</v>
      </c>
      <c r="AA4" t="s" s="1">
        <v>52</v>
      </c>
    </row>
    <row r="5" ht="20" customHeight="1">
      <c r="A5" t="n" s="10">
        <v>1</v>
      </c>
      <c r="B5" t="s" s="2">
        <v>53</v>
      </c>
      <c r="C5" t="s" s="2">
        <v>54</v>
      </c>
      <c r="D5" t="s" s="10">
        <v>55</v>
      </c>
      <c r="E5" t="s" s="2">
        <v>56</v>
      </c>
      <c r="F5" t="s" s="2">
        <v>57</v>
      </c>
      <c r="G5" t="n" s="10">
        <v>2</v>
      </c>
      <c r="H5" t="s" s="2">
        <v>58</v>
      </c>
      <c r="I5" t="s" s="2">
        <v>59</v>
      </c>
      <c r="J5" t="s" s="9">
        <v>60</v>
      </c>
      <c r="K5" t="s" s="2">
        <v>61</v>
      </c>
      <c r="L5" t="s" s="2">
        <v>62</v>
      </c>
      <c r="M5" t="n" s="3">
        <v>560.00</v>
      </c>
      <c r="N5" t="s" s="2">
        <v>63</v>
      </c>
      <c r="O5" t="n" s="3">
        <v>0.00</v>
      </c>
      <c r="P5" t="n" s="3">
        <v>0.00</v>
      </c>
      <c r="Q5" t="n" s="3">
        <v>533.33</v>
      </c>
      <c r="R5" t="n" s="3">
        <v>13.33</v>
      </c>
      <c r="S5" t="n" s="3">
        <v>13.33</v>
      </c>
      <c r="T5" t="n" s="3">
        <v>0.01</v>
      </c>
      <c r="U5" t="n" s="3">
        <v>560.00</v>
      </c>
      <c r="V5" t="s" s="9">
        <v>64</v>
      </c>
      <c r="W5" t="s" s="2">
        <v>65</v>
      </c>
      <c r="X5" t="s" s="9">
        <v>66</v>
      </c>
      <c r="Y5" t="s" s="2">
        <v>67</v>
      </c>
      <c r="Z5" t="n" s="10">
        <v>0</v>
      </c>
      <c r="AA5" t="s" s="2">
        <v>68</v>
      </c>
    </row>
    <row r="6" ht="20" customHeight="1">
      <c r="A6" t="n" s="10">
        <v>2</v>
      </c>
      <c r="B6" t="s" s="2">
        <v>69</v>
      </c>
      <c r="C6" t="s" s="2">
        <v>70</v>
      </c>
      <c r="D6" t="s" s="10">
        <v>71</v>
      </c>
      <c r="E6" t="s" s="2">
        <v>56</v>
      </c>
      <c r="F6" t="s" s="2">
        <v>72</v>
      </c>
      <c r="G6" t="n" s="10">
        <v>4</v>
      </c>
      <c r="H6" t="s" s="2">
        <v>58</v>
      </c>
      <c r="I6" t="s" s="2">
        <v>59</v>
      </c>
      <c r="J6" t="s" s="9">
        <v>60</v>
      </c>
      <c r="K6" t="s" s="2">
        <v>73</v>
      </c>
      <c r="L6" t="s" s="2">
        <v>74</v>
      </c>
      <c r="M6" t="n" s="3">
        <v>1450.00</v>
      </c>
      <c r="N6" t="s" s="2">
        <v>75</v>
      </c>
      <c r="O6" t="n" s="3">
        <v>145.00</v>
      </c>
      <c r="P6" t="n" s="3">
        <v>0.00</v>
      </c>
      <c r="Q6" t="n" s="3">
        <v>1242.86</v>
      </c>
      <c r="R6" t="n" s="3">
        <v>31.07</v>
      </c>
      <c r="S6" t="n" s="3">
        <v>31.07</v>
      </c>
      <c r="T6" t="n" s="3">
        <v>0.00</v>
      </c>
      <c r="U6" t="n" s="3">
        <v>1305.00</v>
      </c>
      <c r="V6" t="s" s="9">
        <v>76</v>
      </c>
      <c r="W6" t="s" s="2">
        <v>77</v>
      </c>
      <c r="X6" t="s" s="9">
        <v>66</v>
      </c>
      <c r="Y6" t="s" s="2">
        <v>67</v>
      </c>
      <c r="Z6" t="n" s="10">
        <v>0</v>
      </c>
      <c r="AA6" t="s" s="2">
        <v>78</v>
      </c>
    </row>
    <row r="7" ht="20" customHeight="1">
      <c r="A7" t="n" s="10">
        <v>3</v>
      </c>
      <c r="B7" t="s" s="2">
        <v>79</v>
      </c>
      <c r="C7" t="s" s="2">
        <v>80</v>
      </c>
      <c r="D7" t="s" s="10">
        <v>81</v>
      </c>
      <c r="E7" t="s" s="2">
        <v>56</v>
      </c>
      <c r="F7" t="s" s="2">
        <v>82</v>
      </c>
      <c r="G7" t="n" s="10">
        <v>1</v>
      </c>
      <c r="H7" t="s" s="2">
        <v>83</v>
      </c>
      <c r="I7" t="s" s="2">
        <v>84</v>
      </c>
      <c r="J7" t="s" s="9">
        <v>85</v>
      </c>
      <c r="K7" t="s" s="2">
        <v>86</v>
      </c>
      <c r="L7" t="s" s="2">
        <v>87</v>
      </c>
      <c r="M7" t="n" s="3">
        <v>320.00</v>
      </c>
      <c r="N7" t="s" s="2">
        <v>63</v>
      </c>
      <c r="O7" t="n" s="3">
        <v>0.00</v>
      </c>
      <c r="P7" t="n" s="3">
        <v>0.00</v>
      </c>
      <c r="Q7" t="n" s="3">
        <v>304.76</v>
      </c>
      <c r="R7" t="n" s="3">
        <v>7.62</v>
      </c>
      <c r="S7" t="n" s="3">
        <v>7.62</v>
      </c>
      <c r="T7" t="n" s="3">
        <v>0.00</v>
      </c>
      <c r="U7" t="n" s="3">
        <v>320.00</v>
      </c>
      <c r="V7" t="s" s="9">
        <v>88</v>
      </c>
      <c r="W7" t="s" s="2">
        <v>89</v>
      </c>
      <c r="X7" t="s" s="9">
        <v>66</v>
      </c>
      <c r="Y7" t="s" s="2">
        <v>90</v>
      </c>
      <c r="Z7" t="n" s="10">
        <v>0</v>
      </c>
      <c r="AA7" t="s" s="2">
        <v>91</v>
      </c>
    </row>
    <row r="8" ht="20" customHeight="1">
      <c r="A8" t="n" s="10">
        <v>4</v>
      </c>
      <c r="B8" t="s" s="2">
        <v>92</v>
      </c>
      <c r="C8" t="s" s="2">
        <v>93</v>
      </c>
      <c r="D8" t="s" s="10">
        <v>94</v>
      </c>
      <c r="E8" t="s" s="2">
        <v>95</v>
      </c>
      <c r="F8" t="s" s="2">
        <v>96</v>
      </c>
      <c r="G8" t="n" s="10">
        <v>3</v>
      </c>
      <c r="H8" t="s" s="2">
        <v>97</v>
      </c>
      <c r="I8" t="s" s="2">
        <v>98</v>
      </c>
      <c r="J8" t="s" s="9">
        <v>60</v>
      </c>
      <c r="K8" t="s" s="2">
        <v>99</v>
      </c>
      <c r="L8" t="s" s="2">
        <v>100</v>
      </c>
      <c r="M8" t="n" s="3">
        <v>980.00</v>
      </c>
      <c r="N8" t="s" s="2">
        <v>63</v>
      </c>
      <c r="O8" t="n" s="3">
        <v>0.00</v>
      </c>
      <c r="P8" t="n" s="3">
        <v>0.00</v>
      </c>
      <c r="Q8" t="n" s="3">
        <v>933.33</v>
      </c>
      <c r="R8" t="n" s="3">
        <v>23.33</v>
      </c>
      <c r="S8" t="n" s="3">
        <v>23.33</v>
      </c>
      <c r="T8" t="n" s="3">
        <v>0.01</v>
      </c>
      <c r="U8" t="n" s="3">
        <v>980.00</v>
      </c>
      <c r="V8" t="s" s="9">
        <v>101</v>
      </c>
      <c r="W8" t="s" s="2">
        <v>102</v>
      </c>
      <c r="X8" t="s" s="9">
        <v>66</v>
      </c>
      <c r="Y8" t="s" s="2">
        <v>67</v>
      </c>
      <c r="Z8" t="n" s="10">
        <v>0</v>
      </c>
      <c r="AA8" t="s" s="2">
        <v>103</v>
      </c>
    </row>
    <row r="9" ht="20" customHeight="1">
      <c r="A9" t="n" s="10">
        <v>5</v>
      </c>
      <c r="B9" t="s" s="2">
        <v>104</v>
      </c>
      <c r="C9" t="s" s="2">
        <v>105</v>
      </c>
      <c r="D9" t="s" s="10">
        <v>106</v>
      </c>
      <c r="E9" t="s" s="2">
        <v>95</v>
      </c>
      <c r="F9" t="s" s="2">
        <v>107</v>
      </c>
      <c r="G9" t="n" s="10">
        <v>1</v>
      </c>
      <c r="H9" t="s" s="2">
        <v>97</v>
      </c>
      <c r="I9" t="s" s="2">
        <v>98</v>
      </c>
      <c r="J9" t="s" s="9">
        <v>60</v>
      </c>
      <c r="K9" t="s" s="2">
        <v>108</v>
      </c>
      <c r="L9" t="s" s="2">
        <v>109</v>
      </c>
      <c r="M9" t="n" s="3">
        <v>420.00</v>
      </c>
      <c r="N9" t="s" s="2">
        <v>110</v>
      </c>
      <c r="O9" t="n" s="3">
        <v>420.00</v>
      </c>
      <c r="P9" t="n" s="3">
        <v>0.00</v>
      </c>
      <c r="Q9" t="n" s="3">
        <v>0.00</v>
      </c>
      <c r="R9" t="n" s="3">
        <v>0.00</v>
      </c>
      <c r="S9" t="n" s="3">
        <v>0.00</v>
      </c>
      <c r="T9" t="n" s="3">
        <v>0.00</v>
      </c>
      <c r="U9" t="n" s="3">
        <v>0.00</v>
      </c>
      <c r="V9" t="s" s="9">
        <v>111</v>
      </c>
      <c r="W9" t="s" s="2">
        <v>112</v>
      </c>
      <c r="X9" t="s" s="9">
        <v>113</v>
      </c>
      <c r="Y9" t="s" s="2">
        <v>67</v>
      </c>
      <c r="Z9" t="n" s="10">
        <v>1</v>
      </c>
      <c r="AA9" t="s" s="2">
        <v>114</v>
      </c>
    </row>
    <row r="10" ht="20" customHeight="1">
      <c r="A10" t="n" s="10">
        <v>6</v>
      </c>
      <c r="B10" t="s" s="2">
        <v>115</v>
      </c>
      <c r="C10" t="s" s="2">
        <v>116</v>
      </c>
      <c r="D10" t="s" s="10">
        <v>117</v>
      </c>
      <c r="E10" t="s" s="2">
        <v>95</v>
      </c>
      <c r="F10" t="s" s="2">
        <v>107</v>
      </c>
      <c r="G10" t="n" s="10">
        <v>1</v>
      </c>
      <c r="H10" t="s" s="2">
        <v>97</v>
      </c>
      <c r="I10" t="s" s="2">
        <v>98</v>
      </c>
      <c r="J10" t="s" s="9">
        <v>60</v>
      </c>
      <c r="K10" t="s" s="2">
        <v>108</v>
      </c>
      <c r="L10" t="s" s="2">
        <v>109</v>
      </c>
      <c r="M10" t="n" s="3">
        <v>420.00</v>
      </c>
      <c r="N10" t="s" s="2">
        <v>63</v>
      </c>
      <c r="O10" t="n" s="3">
        <v>0.00</v>
      </c>
      <c r="P10" t="n" s="3">
        <v>0.00</v>
      </c>
      <c r="Q10" t="n" s="3">
        <v>400.00</v>
      </c>
      <c r="R10" t="n" s="3">
        <v>10.00</v>
      </c>
      <c r="S10" t="n" s="3">
        <v>10.00</v>
      </c>
      <c r="T10" t="n" s="3">
        <v>0.00</v>
      </c>
      <c r="U10" t="n" s="3">
        <v>420.00</v>
      </c>
      <c r="V10" t="s" s="9">
        <v>118</v>
      </c>
      <c r="W10" t="s" s="2">
        <v>119</v>
      </c>
      <c r="X10" t="s" s="9">
        <v>66</v>
      </c>
      <c r="Y10" t="s" s="2">
        <v>67</v>
      </c>
      <c r="Z10" t="n" s="10">
        <v>0</v>
      </c>
      <c r="AA10" t="s" s="2">
        <v>120</v>
      </c>
    </row>
    <row r="11" ht="20" customHeight="1">
      <c r="A11" t="n" s="10">
        <v>7</v>
      </c>
      <c r="B11" t="s" s="2">
        <v>121</v>
      </c>
      <c r="C11" t="s" s="2">
        <v>122</v>
      </c>
      <c r="D11" t="s" s="10">
        <v>123</v>
      </c>
      <c r="E11" t="s" s="2">
        <v>56</v>
      </c>
      <c r="F11" t="s" s="2">
        <v>124</v>
      </c>
      <c r="G11" t="n" s="10">
        <v>1</v>
      </c>
      <c r="H11" t="s" s="2">
        <v>83</v>
      </c>
      <c r="I11" t="s" s="2">
        <v>125</v>
      </c>
      <c r="J11" t="s" s="9">
        <v>126</v>
      </c>
      <c r="K11" t="s" s="2">
        <v>127</v>
      </c>
      <c r="L11" t="s" s="2">
        <v>128</v>
      </c>
      <c r="M11" t="n" s="3">
        <v>880.00</v>
      </c>
      <c r="N11" t="s" s="2">
        <v>129</v>
      </c>
      <c r="O11" t="n" s="3">
        <v>176.00</v>
      </c>
      <c r="P11" t="n" s="3">
        <v>0.00</v>
      </c>
      <c r="Q11" t="n" s="3">
        <v>670.48</v>
      </c>
      <c r="R11" t="n" s="3">
        <v>16.76</v>
      </c>
      <c r="S11" t="n" s="3">
        <v>16.76</v>
      </c>
      <c r="T11" t="n" s="3">
        <v>0.00</v>
      </c>
      <c r="U11" t="n" s="3">
        <v>704.00</v>
      </c>
      <c r="V11" t="s" s="9">
        <v>130</v>
      </c>
      <c r="W11" t="s" s="2">
        <v>131</v>
      </c>
      <c r="X11" t="s" s="9">
        <v>66</v>
      </c>
      <c r="Y11" t="s" s="2">
        <v>90</v>
      </c>
      <c r="Z11" t="n" s="10">
        <v>0</v>
      </c>
      <c r="AA11" t="s" s="2">
        <v>132</v>
      </c>
    </row>
    <row r="12" ht="24" customHeight="1">
      <c r="A12" t="s" s="5">
        <v>133</v>
      </c>
      <c r="B12" s="5"/>
      <c r="C12" s="5"/>
      <c r="D12" s="5"/>
      <c r="E12" s="5"/>
      <c r="F12" s="5"/>
      <c r="G12" t="n" s="5">
        <f>SUM(G5:G11)</f>
        <v>14</v>
      </c>
      <c r="H12" s="5"/>
      <c r="I12" s="5"/>
      <c r="J12" s="5"/>
      <c r="K12" s="5"/>
      <c r="L12" s="5"/>
      <c r="M12" t="n" s="5">
        <f>SUM(M5:M11)</f>
        <v>5070.00</v>
      </c>
      <c r="N12" s="5"/>
      <c r="O12" t="n" s="5">
        <f>SUM(O5:O11)</f>
        <v>741.00</v>
      </c>
      <c r="P12" t="n" s="5">
        <f>SUM(P5:P11)</f>
        <v>0.00</v>
      </c>
      <c r="Q12" t="n" s="5">
        <f>SUM(Q5:Q11)</f>
        <v>4114.76</v>
      </c>
      <c r="R12" t="n" s="5">
        <f>SUM(R5:R11)</f>
        <v>102.73</v>
      </c>
      <c r="S12" t="n" s="5">
        <f>SUM(S5:S11)</f>
        <v>102.73</v>
      </c>
      <c r="T12" t="n" s="5">
        <f>SUM(T5:T11)</f>
        <v>0.02</v>
      </c>
      <c r="U12" t="n" s="5">
        <f>SUM(U5:U11)</f>
        <v>4329.00</v>
      </c>
      <c r="V12" s="5"/>
      <c r="W12" s="5"/>
      <c r="X12" s="5"/>
      <c r="Y12" s="5"/>
      <c r="Z12" s="5"/>
      <c r="AA12" s="5"/>
    </row>
  </sheetData>
  <autoFilter ref="A4:AA11"/>
</worksheet>
</file>

<file path=xl/worksheets/sheet3.xml><?xml version="1.0" encoding="utf-8"?>
<worksheet xmlns="http://schemas.openxmlformats.org/spreadsheetml/2006/main">
  <sheetViews>
    <sheetView tabSelected="0" workbookViewId="0">
      <pane ySplit="4" topLeftCell="A5" activePane="bottomLeft" state="frozen"/>
    </sheetView>
  </sheetViews>
  <cols>
    <col min="1" max="1" width="8" customWidth="1"/>
    <col min="2" max="2" width="18" customWidth="1"/>
    <col min="3" max="3" width="16" customWidth="1"/>
    <col min="4" max="4" width="28" customWidth="1"/>
    <col min="5" max="5" width="20" customWidth="1"/>
    <col min="6" max="6" width="18" customWidth="1"/>
    <col min="7" max="7" width="32" customWidth="1"/>
    <col min="8" max="8" width="10" customWidth="1"/>
    <col min="9" max="9" width="16" customWidth="1"/>
    <col min="10" max="10" width="16" customWidth="1"/>
    <col min="11" max="11" width="18" customWidth="1"/>
    <col min="12" max="12" width="18" customWidth="1"/>
    <col min="13" max="13" width="18" customWidth="1"/>
    <col min="14" max="14" width="14" customWidth="1"/>
  </cols>
  <sheetData>
    <row r="1" ht="28" customHeight="1">
      <c r="A1" t="s" s="4">
        <v>134</v>
      </c>
    </row>
    <row r="2" ht="18" customHeight="1">
      <c r="A2" t="s" s="6">
        <v>135</v>
      </c>
    </row>
    <row r="3" ht="14" customHeight="1"/>
    <row r="4" ht="24" customHeight="1">
      <c r="A4" t="s" s="1">
        <v>26</v>
      </c>
      <c r="B4" t="s" s="1">
        <v>28</v>
      </c>
      <c r="C4" t="s" s="1">
        <v>136</v>
      </c>
      <c r="D4" t="s" s="1">
        <v>137</v>
      </c>
      <c r="E4" t="s" s="1">
        <v>138</v>
      </c>
      <c r="F4" t="s" s="1">
        <v>139</v>
      </c>
      <c r="G4" t="s" s="1">
        <v>140</v>
      </c>
      <c r="H4" t="s" s="1">
        <v>141</v>
      </c>
      <c r="I4" t="s" s="1">
        <v>142</v>
      </c>
      <c r="J4" t="s" s="1">
        <v>143</v>
      </c>
      <c r="K4" t="s" s="1">
        <v>144</v>
      </c>
      <c r="L4" t="s" s="1">
        <v>145</v>
      </c>
      <c r="M4" t="s" s="1">
        <v>146</v>
      </c>
      <c r="N4" t="s" s="1">
        <v>147</v>
      </c>
    </row>
    <row r="5" ht="20" customHeight="1">
      <c r="A5" t="n" s="10">
        <v>1</v>
      </c>
      <c r="B5" t="s" s="2">
        <v>54</v>
      </c>
      <c r="C5" t="s" s="10">
        <v>148</v>
      </c>
      <c r="D5" t="s" s="2">
        <v>149</v>
      </c>
      <c r="E5" t="s" s="2">
        <v>150</v>
      </c>
      <c r="F5" t="s" s="2">
        <v>151</v>
      </c>
      <c r="G5" t="s" s="2">
        <v>152</v>
      </c>
      <c r="H5" t="n" s="10">
        <v>1</v>
      </c>
      <c r="I5" t="n" s="3">
        <v>220.00</v>
      </c>
      <c r="J5" t="n" s="3">
        <v>40.00</v>
      </c>
      <c r="K5" t="n" s="3">
        <v>260.00</v>
      </c>
      <c r="L5" t="s" s="10">
        <v>153</v>
      </c>
      <c r="M5" t="s" s="2">
        <v>154</v>
      </c>
      <c r="N5" t="s" s="9">
        <v>155</v>
      </c>
    </row>
    <row r="6" ht="20" customHeight="1">
      <c r="A6" t="n" s="10">
        <v>2</v>
      </c>
      <c r="B6" t="s" s="2">
        <v>54</v>
      </c>
      <c r="C6" t="s" s="10">
        <v>156</v>
      </c>
      <c r="D6" t="s" s="2">
        <v>157</v>
      </c>
      <c r="E6" t="s" s="2">
        <v>158</v>
      </c>
      <c r="F6" t="s" s="2">
        <v>159</v>
      </c>
      <c r="G6" t="s" s="2">
        <v>160</v>
      </c>
      <c r="H6" t="n" s="10">
        <v>1</v>
      </c>
      <c r="I6" t="n" s="3">
        <v>300.00</v>
      </c>
      <c r="J6" t="n" s="3">
        <v>0.00</v>
      </c>
      <c r="K6" t="n" s="3">
        <v>300.00</v>
      </c>
      <c r="L6" t="s" s="10">
        <v>153</v>
      </c>
      <c r="M6" t="s" s="2">
        <v>161</v>
      </c>
      <c r="N6" t="s" s="9">
        <v>155</v>
      </c>
    </row>
    <row r="7" ht="20" customHeight="1">
      <c r="A7" t="n" s="10">
        <v>3</v>
      </c>
      <c r="B7" t="s" s="2">
        <v>70</v>
      </c>
      <c r="C7" t="s" s="10">
        <v>162</v>
      </c>
      <c r="D7" t="s" s="2">
        <v>163</v>
      </c>
      <c r="E7" t="s" s="2">
        <v>164</v>
      </c>
      <c r="F7" t="s" s="2">
        <v>165</v>
      </c>
      <c r="G7" t="s" s="2">
        <v>166</v>
      </c>
      <c r="H7" t="n" s="10">
        <v>2</v>
      </c>
      <c r="I7" t="n" s="3">
        <v>240.00</v>
      </c>
      <c r="J7" t="n" s="3">
        <v>0.00</v>
      </c>
      <c r="K7" t="n" s="3">
        <v>480.00</v>
      </c>
      <c r="L7" t="s" s="10">
        <v>167</v>
      </c>
      <c r="M7" t="s" s="2">
        <v>168</v>
      </c>
      <c r="N7" t="s" s="9">
        <v>155</v>
      </c>
    </row>
    <row r="8" ht="20" customHeight="1">
      <c r="A8" t="n" s="10">
        <v>4</v>
      </c>
      <c r="B8" t="s" s="2">
        <v>70</v>
      </c>
      <c r="C8" t="s" s="10">
        <v>169</v>
      </c>
      <c r="D8" t="s" s="2">
        <v>170</v>
      </c>
      <c r="E8" t="s" s="2">
        <v>171</v>
      </c>
      <c r="F8" t="s" s="2">
        <v>172</v>
      </c>
      <c r="G8" t="s" s="2">
        <v>173</v>
      </c>
      <c r="H8" t="n" s="10">
        <v>2</v>
      </c>
      <c r="I8" t="n" s="3">
        <v>485.00</v>
      </c>
      <c r="J8" t="n" s="3">
        <v>0.00</v>
      </c>
      <c r="K8" t="n" s="3">
        <v>970.00</v>
      </c>
      <c r="L8" t="s" s="10">
        <v>167</v>
      </c>
      <c r="M8" t="s" s="2">
        <v>174</v>
      </c>
      <c r="N8" t="s" s="9">
        <v>155</v>
      </c>
    </row>
    <row r="9" ht="20" customHeight="1">
      <c r="A9" t="n" s="10">
        <v>5</v>
      </c>
      <c r="B9" t="s" s="2">
        <v>80</v>
      </c>
      <c r="C9" t="s" s="10">
        <v>175</v>
      </c>
      <c r="D9" t="s" s="2">
        <v>176</v>
      </c>
      <c r="E9" t="s" s="2">
        <v>177</v>
      </c>
      <c r="F9" t="s" s="2">
        <v>178</v>
      </c>
      <c r="G9" t="s" s="2">
        <v>179</v>
      </c>
      <c r="H9" t="n" s="10">
        <v>1</v>
      </c>
      <c r="I9" t="n" s="3">
        <v>270.00</v>
      </c>
      <c r="J9" t="n" s="3">
        <v>50.00</v>
      </c>
      <c r="K9" t="n" s="3">
        <v>320.00</v>
      </c>
      <c r="L9" t="s" s="10">
        <v>180</v>
      </c>
      <c r="M9" t="s" s="2">
        <v>181</v>
      </c>
      <c r="N9" t="s" s="9">
        <v>155</v>
      </c>
    </row>
    <row r="10" ht="20" customHeight="1">
      <c r="A10" t="n" s="10">
        <v>6</v>
      </c>
      <c r="B10" t="s" s="2">
        <v>93</v>
      </c>
      <c r="C10" t="s" s="10">
        <v>182</v>
      </c>
      <c r="D10" t="s" s="2">
        <v>183</v>
      </c>
      <c r="E10" t="s" s="2">
        <v>150</v>
      </c>
      <c r="F10" t="s" s="2">
        <v>184</v>
      </c>
      <c r="G10" t="s" s="2">
        <v>185</v>
      </c>
      <c r="H10" t="n" s="10">
        <v>2</v>
      </c>
      <c r="I10" t="n" s="3">
        <v>190.00</v>
      </c>
      <c r="J10" t="n" s="3">
        <v>0.00</v>
      </c>
      <c r="K10" t="n" s="3">
        <v>380.00</v>
      </c>
      <c r="L10" t="s" s="10">
        <v>186</v>
      </c>
      <c r="M10" t="s" s="2">
        <v>154</v>
      </c>
      <c r="N10" t="s" s="9">
        <v>155</v>
      </c>
    </row>
    <row r="11" ht="20" customHeight="1">
      <c r="A11" t="n" s="10">
        <v>7</v>
      </c>
      <c r="B11" t="s" s="2">
        <v>93</v>
      </c>
      <c r="C11" t="s" s="10">
        <v>187</v>
      </c>
      <c r="D11" t="s" s="2">
        <v>188</v>
      </c>
      <c r="E11" t="s" s="2">
        <v>189</v>
      </c>
      <c r="F11" t="s" s="2">
        <v>190</v>
      </c>
      <c r="G11" t="s" s="2">
        <v>191</v>
      </c>
      <c r="H11" t="n" s="10">
        <v>1</v>
      </c>
      <c r="I11" t="n" s="3">
        <v>540.00</v>
      </c>
      <c r="J11" t="n" s="3">
        <v>60.00</v>
      </c>
      <c r="K11" t="n" s="3">
        <v>600.00</v>
      </c>
      <c r="L11" t="s" s="10">
        <v>186</v>
      </c>
      <c r="M11" t="s" s="2">
        <v>192</v>
      </c>
      <c r="N11" t="s" s="9">
        <v>155</v>
      </c>
    </row>
    <row r="12" ht="24" customHeight="1">
      <c r="A12" t="s" s="5">
        <v>193</v>
      </c>
      <c r="B12" s="5"/>
      <c r="C12" s="5"/>
      <c r="D12" s="5"/>
      <c r="E12" s="5"/>
      <c r="F12" s="5"/>
      <c r="G12" s="5"/>
      <c r="H12" t="n" s="5">
        <f>SUM(H5:H11)</f>
        <v>10</v>
      </c>
      <c r="I12" s="5"/>
      <c r="J12" s="5"/>
      <c r="K12" t="n" s="5">
        <f>SUM(K5:K11)</f>
        <v>3310.00</v>
      </c>
      <c r="L12" s="5"/>
      <c r="M12" s="5"/>
      <c r="N12" s="5"/>
    </row>
  </sheetData>
  <autoFilter ref="A4:N11"/>
</worksheet>
</file>

<file path=xl/worksheets/sheet4.xml><?xml version="1.0" encoding="utf-8"?>
<worksheet xmlns="http://schemas.openxmlformats.org/spreadsheetml/2006/main">
  <cols>
    <col min="1" max="1" width="32" customWidth="1"/>
    <col min="2" max="2" width="55" customWidth="1"/>
  </cols>
  <sheetData>
    <row r="1" ht="28" customHeight="1">
      <c r="A1" t="s" s="4">
        <v>194</v>
      </c>
    </row>
    <row r="2" ht="14" customHeight="1"/>
    <row r="3" ht="20" customHeight="1">
      <c r="A3" t="s" s="1">
        <v>195</v>
      </c>
      <c r="B3" t="s" s="1">
        <v>196</v>
      </c>
    </row>
    <row r="4" ht="22" customHeight="1">
      <c r="A4" t="s" s="2">
        <v>197</v>
      </c>
      <c r="B4" t="s" s="2">
        <v>198</v>
      </c>
    </row>
    <row r="5" ht="22" customHeight="1">
      <c r="A5" t="s" s="2">
        <v>199</v>
      </c>
      <c r="B5" t="s" s="2">
        <v>200</v>
      </c>
    </row>
    <row r="6" ht="22" customHeight="1">
      <c r="A6" t="s" s="2">
        <v>201</v>
      </c>
      <c r="B6" t="s" s="2">
        <v>202</v>
      </c>
    </row>
    <row r="7" ht="22" customHeight="1">
      <c r="A7" t="s" s="2">
        <v>203</v>
      </c>
      <c r="B7" t="s" s="2">
        <v>204</v>
      </c>
    </row>
    <row r="8" ht="22" customHeight="1">
      <c r="A8" t="s" s="2">
        <v>205</v>
      </c>
      <c r="B8" t="s" s="2">
        <v>206</v>
      </c>
    </row>
    <row r="9" ht="22" customHeight="1">
      <c r="A9" t="s" s="2">
        <v>207</v>
      </c>
      <c r="B9" t="s" s="2">
        <v>208</v>
      </c>
    </row>
    <row r="10" ht="22" customHeight="1">
      <c r="A10" t="s" s="2">
        <v>209</v>
      </c>
      <c r="B10" t="s" s="2">
        <v>210</v>
      </c>
    </row>
  </sheetData>
</worksheet>
</file>